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151" documentId="13_ncr:1_{C33271F6-7B2F-45C8-B23D-24BE88135F3D}" xr6:coauthVersionLast="47" xr6:coauthVersionMax="47" xr10:uidLastSave="{35CED7D9-58D1-408A-9F14-ED194D08397D}"/>
  <bookViews>
    <workbookView xWindow="28680" yWindow="660" windowWidth="29040" windowHeight="16440" activeTab="1" xr2:uid="{00000000-000D-0000-FFFF-FFFF00000000}"/>
  </bookViews>
  <sheets>
    <sheet name="Sheet1" sheetId="2" r:id="rId1"/>
    <sheet name="Sales Info" sheetId="3" r:id="rId2"/>
    <sheet name="Bike Sales" sheetId="1" r:id="rId3"/>
  </sheets>
  <calcPr calcId="191028"/>
  <pivotCaches>
    <pivotCache cacheId="1724" r:id="rId4"/>
    <pivotCache cacheId="227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3" l="1" a="1"/>
  <c r="T19" i="3" s="1"/>
  <c r="T18" i="3" a="1"/>
  <c r="T18" i="3" s="1"/>
  <c r="T17" i="3" a="1"/>
  <c r="T17" i="3" s="1"/>
  <c r="T16" i="3" a="1"/>
  <c r="T16" i="3" s="1"/>
  <c r="T15" i="3" a="1"/>
  <c r="T15" i="3" s="1"/>
  <c r="T14" i="3" a="1"/>
  <c r="T14" i="3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<sst xmlns="http://schemas.openxmlformats.org/spreadsheetml/2006/main" count="888" uniqueCount="185">
  <si>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</si>
  <si>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</si>
  <si>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</si>
  <si>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</si>
  <si>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</si>
  <si>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</si>
  <si>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</si>
  <si>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</si>
  <si>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</si>
  <si>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</si>
  <si>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</si>
  <si>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</si>
  <si>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</si>
  <si>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</si>
  <si>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</si>
  <si>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</si>
  <si>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</si>
  <si>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</si>
  <si>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</si>
  <si>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</si>
  <si>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</si>
  <si>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</si>
  <si>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Count of Sales Volume </t>
  </si>
  <si>
    <t>County </t>
  </si>
  <si>
    <t>Yorkshire </t>
  </si>
  <si>
    <t>Laptops </t>
  </si>
  <si>
    <t>500 </t>
  </si>
  <si>
    <t>Product </t>
  </si>
  <si>
    <t>Cornwall </t>
  </si>
  <si>
    <t>Durham </t>
  </si>
  <si>
    <t>Essex </t>
  </si>
  <si>
    <t>Greater Manchester </t>
  </si>
  <si>
    <t>Lancashire </t>
  </si>
  <si>
    <t>Smartphones </t>
  </si>
  <si>
    <t>200 </t>
  </si>
  <si>
    <t>700 </t>
  </si>
  <si>
    <t>Printers </t>
  </si>
  <si>
    <t>400 </t>
  </si>
  <si>
    <t>150 </t>
  </si>
  <si>
    <t>600 </t>
  </si>
  <si>
    <t>800 </t>
  </si>
  <si>
    <t>300 </t>
  </si>
  <si>
    <t>250 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</si>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</sst>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22" fillId="0" borderId="10" xfId="0" applyFont="1" applyBorder="1" applyAlignment="1">
      <alignment wrapText="1" readingOrder="1"/>
    </xf>
    <xf numFmtId="0" fontId="22" fillId="0" borderId="11" xfId="0" applyFont="1" applyBorder="1" applyAlignment="1">
      <alignment wrapText="1" readingOrder="1"/>
    </xf>
    <xf numFmtId="0" fontId="22" fillId="0" borderId="12" xfId="0" applyFont="1" applyBorder="1" applyAlignment="1">
      <alignment wrapText="1" readingOrder="1"/>
    </xf>
    <xf numFmtId="0" fontId="21" fillId="0" borderId="13" xfId="0" applyFont="1" applyBorder="1" applyAlignment="1">
      <alignment wrapText="1" readingOrder="1"/>
    </xf>
    <xf numFmtId="0" fontId="21" fillId="0" borderId="14" xfId="0" applyFont="1" applyBorder="1" applyAlignment="1">
      <alignment wrapText="1" readingOrder="1"/>
    </xf>
    <xf numFmtId="0" fontId="21" fillId="0" borderId="15" xfId="0" applyFont="1" applyBorder="1" applyAlignment="1">
      <alignment wrapText="1" readingOrder="1"/>
    </xf>
    <xf numFmtId="0" fontId="21" fillId="0" borderId="16" xfId="0" applyFont="1" applyBorder="1" applyAlignment="1">
      <alignment wrapText="1" readingOrder="1"/>
    </xf>
    <xf numFmtId="0" fontId="21" fillId="0" borderId="17" xfId="0" applyFont="1" applyBorder="1" applyAlignment="1">
      <alignment wrapText="1" readingOrder="1"/>
    </xf>
    <xf numFmtId="0" fontId="21" fillId="0" borderId="18" xfId="0" applyFont="1" applyBorder="1" applyAlignment="1">
      <alignment wrapText="1" readingOrder="1"/>
    </xf>
    <xf numFmtId="0" fontId="0" fillId="0" borderId="19" xfId="0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vertical="bottom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7-4F45-92E8-485922C112F9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F7-4F45-92E8-485922C112F9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F7-4F45-92E8-485922C112F9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F7-4F45-92E8-485922C112F9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F7-4F45-92E8-485922C112F9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F7-4F45-92E8-485922C1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9896328"/>
        <c:axId val="259898376"/>
      </c:barChart>
      <c:catAx>
        <c:axId val="25989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98376"/>
        <c:crosses val="autoZero"/>
        <c:auto val="1"/>
        <c:lblAlgn val="ctr"/>
        <c:lblOffset val="100"/>
        <c:noMultiLvlLbl val="0"/>
      </c:catAx>
      <c:valAx>
        <c:axId val="25989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9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14</xdr:row>
      <xdr:rowOff>9525</xdr:rowOff>
    </xdr:from>
    <xdr:to>
      <xdr:col>6</xdr:col>
      <xdr:colOff>1028700</xdr:colOff>
      <xdr:row>28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D13BB-8752-C760-11F9-38ABB692B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5.49550138889" createdVersion="8" refreshedVersion="8" minRefreshableVersion="3" recordCount="88" xr:uid="{9DA0DEFE-EEB4-4FA0-BC36-2801077452B4}">
  <cacheSource type="worksheet">
    <worksheetSource name="Table1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Germany"/>
        <s v="Canada"/>
        <s v="France"/>
        <s v="United  States" u="1"/>
        <s v="United States " u="1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5.570805902775" createdVersion="8" refreshedVersion="8" minRefreshableVersion="3" recordCount="12" xr:uid="{4EEF029E-7DD0-4265-B6B4-E2640E3A35D5}">
  <cacheSource type="worksheet">
    <worksheetSource ref="A1:C13" sheet="Sales Info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unt="9">
        <s v="500 "/>
        <s v="200 "/>
        <s v="700 "/>
        <s v="400 "/>
        <s v="150 "/>
        <s v="600 "/>
        <s v="800 "/>
        <s v="300 "/>
        <s v="250 "/>
      </sharedItems>
    </cacheField>
  </cacheFields>
  <extLst>
    <ext xmlns:x14="http://schemas.microsoft.com/office/spreadsheetml/2009/9/main" uri="{725AE2AE-9491-48be-B2B4-4EB974FC3084}">
      <x14:pivotCacheDefinition pivotCacheId="6057761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0"/>
    <x v="1"/>
    <x v="1"/>
  </r>
  <r>
    <x v="1"/>
    <x v="0"/>
    <x v="2"/>
  </r>
  <r>
    <x v="1"/>
    <x v="2"/>
    <x v="3"/>
  </r>
  <r>
    <x v="2"/>
    <x v="1"/>
    <x v="4"/>
  </r>
  <r>
    <x v="2"/>
    <x v="0"/>
    <x v="5"/>
  </r>
  <r>
    <x v="3"/>
    <x v="2"/>
    <x v="6"/>
  </r>
  <r>
    <x v="3"/>
    <x v="1"/>
    <x v="7"/>
  </r>
  <r>
    <x v="4"/>
    <x v="0"/>
    <x v="8"/>
  </r>
  <r>
    <x v="4"/>
    <x v="2"/>
    <x v="7"/>
  </r>
  <r>
    <x v="5"/>
    <x v="1"/>
    <x v="5"/>
  </r>
  <r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938C2-5E5C-4338-B8C9-E56537B8FC62}" name="PivotTable1" cacheId="1724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4"/>
        <item x="5"/>
        <item x="3"/>
        <item m="1" x="6"/>
        <item x="1"/>
        <item x="0"/>
        <item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dataFields count="1">
    <dataField name="Sum of Order_Quantity" fld="13" baseField="0" baseItem="0"/>
  </dataFields>
  <formats count="2">
    <format dxfId="10">
      <pivotArea outline="0" collapsedLevelsAreSubtotals="1" fieldPosition="0"/>
    </format>
    <format dxfId="11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6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6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C44EE-2257-45B5-9F87-77FCD2E58859}" name="PivotTable4" cacheId="2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:M6" firstHeaderRow="1" firstDataRow="2" firstDataCol="1"/>
  <pivotFields count="3">
    <pivotField axis="axisCol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>
      <items count="10">
        <item x="4"/>
        <item x="1"/>
        <item x="8"/>
        <item x="7"/>
        <item x="3"/>
        <item x="0"/>
        <item x="5"/>
        <item x="2"/>
        <item x="6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ales Volume 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DB08D-C9D1-45EA-BB8C-DC17318BD75A}" name="Table1" displayName="Table1" ref="A1:S89" totalsRowShown="0" headerRowDxfId="9">
  <autoFilter ref="A1:S89" xr:uid="{A8FDB08D-C9D1-45EA-BB8C-DC17318BD75A}"/>
  <tableColumns count="19">
    <tableColumn id="1" xr3:uid="{8AE5EE92-0F5C-4267-BF6C-347E0928E774}" name="Sales_Order #" dataDxfId="8"/>
    <tableColumn id="2" xr3:uid="{5BBF5CEF-AAB1-4C51-B804-9AABCA3A6194}" name="Date" dataDxfId="7"/>
    <tableColumn id="3" xr3:uid="{12D41C16-9B79-464F-B554-406F68B737CC}" name="Day"/>
    <tableColumn id="4" xr3:uid="{0FB1008D-0E7B-49A9-9E79-0DAFA0626F05}" name="Month"/>
    <tableColumn id="5" xr3:uid="{122C32AB-DF1F-4F59-BC13-8DE6E82F25CC}" name="Year"/>
    <tableColumn id="6" xr3:uid="{9A2BADED-DD70-42A8-B4F3-D46945566C83}" name="Customer_Age"/>
    <tableColumn id="7" xr3:uid="{0B1AE35E-17FF-44A2-AF00-E9EE2DE2D760}" name="Age_Group" dataDxfId="6"/>
    <tableColumn id="8" xr3:uid="{EC536D5A-7D56-45D9-ADB6-E595A5AE507C}" name="Customer_Gender"/>
    <tableColumn id="9" xr3:uid="{FBEE7936-B2F0-44DB-8004-830EE779E178}" name="Country"/>
    <tableColumn id="10" xr3:uid="{86E8BA1B-0B81-453C-8035-5077B69E0E7B}" name="State"/>
    <tableColumn id="11" xr3:uid="{0F21DA2A-64C1-43BF-8D04-785C77C1CA7B}" name="Product_Category"/>
    <tableColumn id="12" xr3:uid="{D9DCA611-8208-4D34-B533-64C915CC82AF}" name="Sub_Category"/>
    <tableColumn id="13" xr3:uid="{DFA087F2-8571-4C30-8175-1B4A5E301964}" name="Product_Description" dataDxfId="5"/>
    <tableColumn id="14" xr3:uid="{F9D9C382-EB12-4C8A-86AF-1CF61BDA979E}" name="Order_Quantity"/>
    <tableColumn id="15" xr3:uid="{30890BA9-0CAB-4DB1-882C-F6F86A94EE2D}" name=" Unit_Cost " dataDxfId="4"/>
    <tableColumn id="16" xr3:uid="{09684086-73B2-40F9-A1B7-DAA9E6CB4B7F}" name=" Unit_Price " dataDxfId="3"/>
    <tableColumn id="17" xr3:uid="{C1B79540-7039-460B-8EAE-9880B7BB8F98}" name=" Profit " dataDxfId="2"/>
    <tableColumn id="18" xr3:uid="{27FCE461-BD83-4304-B619-B8F6FD934FFA}" name=" Cost " dataDxfId="1">
      <calculatedColumnFormula>N2*O2</calculatedColumnFormula>
    </tableColumn>
    <tableColumn id="19" xr3:uid="{66EC274E-B214-4430-83A3-22A5720218D9}" name="Revenue" dataDxfId="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E615-F50E-440C-A45F-C95CEEE2587C}">
  <dimension ref="A3:I14"/>
  <sheetViews>
    <sheetView workbookViewId="0">
      <selection activeCell="A11" sqref="A11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3.85546875" bestFit="1" customWidth="1"/>
    <col min="11" max="11" width="11.7109375" bestFit="1" customWidth="1"/>
    <col min="12" max="12" width="3" bestFit="1" customWidth="1"/>
    <col min="13" max="13" width="14.42578125" bestFit="1" customWidth="1"/>
    <col min="14" max="14" width="15.7109375" bestFit="1" customWidth="1"/>
    <col min="15" max="15" width="19" bestFit="1" customWidth="1"/>
    <col min="16" max="16" width="17.7109375" bestFit="1" customWidth="1"/>
    <col min="17" max="17" width="3" bestFit="1" customWidth="1"/>
    <col min="18" max="18" width="20.85546875" bestFit="1" customWidth="1"/>
    <col min="19" max="19" width="15.140625" bestFit="1" customWidth="1"/>
    <col min="20" max="20" width="3.28515625" bestFit="1" customWidth="1"/>
    <col min="21" max="21" width="18.42578125" bestFit="1" customWidth="1"/>
    <col min="22" max="22" width="15.7109375" bestFit="1" customWidth="1"/>
    <col min="23" max="23" width="19" bestFit="1" customWidth="1"/>
    <col min="24" max="24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13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t="s">
        <v>14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t="s">
        <v>15</v>
      </c>
      <c r="B8" t="s">
        <v>12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 s="10">
        <v>10</v>
      </c>
      <c r="I8" s="10">
        <v>37</v>
      </c>
    </row>
    <row r="9" spans="1:9">
      <c r="B9" t="s">
        <v>13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 s="10">
        <v>6</v>
      </c>
      <c r="I9" s="10">
        <v>24</v>
      </c>
    </row>
    <row r="10" spans="1:9">
      <c r="A10" t="s">
        <v>16</v>
      </c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 s="10">
        <v>16</v>
      </c>
      <c r="I10" s="10">
        <v>61</v>
      </c>
    </row>
    <row r="11" spans="1:9">
      <c r="A11" t="s">
        <v>17</v>
      </c>
      <c r="B11" t="s">
        <v>12</v>
      </c>
      <c r="C11" s="10">
        <v>17</v>
      </c>
      <c r="D11" s="10">
        <v>0</v>
      </c>
      <c r="E11" s="10">
        <v>0</v>
      </c>
      <c r="F11" s="10">
        <v>8</v>
      </c>
      <c r="G11" s="10">
        <v>1</v>
      </c>
      <c r="H11" s="10">
        <v>29</v>
      </c>
      <c r="I11" s="10">
        <v>55</v>
      </c>
    </row>
    <row r="12" spans="1:9">
      <c r="B12" t="s">
        <v>13</v>
      </c>
      <c r="C12" s="10">
        <v>15</v>
      </c>
      <c r="D12" s="10">
        <v>0</v>
      </c>
      <c r="E12" s="10">
        <v>0</v>
      </c>
      <c r="F12" s="10">
        <v>5</v>
      </c>
      <c r="G12" s="10">
        <v>3</v>
      </c>
      <c r="H12" s="10">
        <v>21</v>
      </c>
      <c r="I12" s="10">
        <v>44</v>
      </c>
    </row>
    <row r="13" spans="1:9">
      <c r="A13" t="s">
        <v>18</v>
      </c>
      <c r="C13" s="10">
        <v>32</v>
      </c>
      <c r="D13" s="10">
        <v>0</v>
      </c>
      <c r="E13" s="10">
        <v>0</v>
      </c>
      <c r="F13" s="10">
        <v>13</v>
      </c>
      <c r="G13" s="10">
        <v>4</v>
      </c>
      <c r="H13" s="10">
        <v>50</v>
      </c>
      <c r="I13" s="10">
        <v>99</v>
      </c>
    </row>
    <row r="14" spans="1:9">
      <c r="A14" t="s">
        <v>10</v>
      </c>
      <c r="C14" s="10">
        <v>63</v>
      </c>
      <c r="D14" s="10">
        <v>11</v>
      </c>
      <c r="E14" s="10">
        <v>20</v>
      </c>
      <c r="F14" s="10">
        <v>13</v>
      </c>
      <c r="G14" s="10">
        <v>14</v>
      </c>
      <c r="H14" s="10">
        <v>66</v>
      </c>
      <c r="I14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9E2A-938C-403E-A2E6-DC7FAF3DD1B4}">
  <dimension ref="A1:T19"/>
  <sheetViews>
    <sheetView tabSelected="1" workbookViewId="0">
      <selection activeCell="L4" sqref="L4"/>
    </sheetView>
  </sheetViews>
  <sheetFormatPr defaultRowHeight="15"/>
  <cols>
    <col min="6" max="6" width="22" bestFit="1" customWidth="1"/>
    <col min="7" max="7" width="11.140625" bestFit="1" customWidth="1"/>
    <col min="8" max="8" width="8.85546875" bestFit="1" customWidth="1"/>
    <col min="9" max="9" width="6.42578125" bestFit="1" customWidth="1"/>
    <col min="10" max="10" width="19.7109375" bestFit="1" customWidth="1"/>
    <col min="11" max="11" width="11" bestFit="1" customWidth="1"/>
    <col min="12" max="12" width="9.85546875" bestFit="1" customWidth="1"/>
    <col min="13" max="14" width="11.7109375" bestFit="1" customWidth="1"/>
    <col min="15" max="15" width="8.5703125" bestFit="1" customWidth="1"/>
    <col min="16" max="16" width="13.5703125" bestFit="1" customWidth="1"/>
    <col min="17" max="17" width="11.7109375" bestFit="1" customWidth="1"/>
    <col min="18" max="18" width="22" bestFit="1" customWidth="1"/>
    <col min="19" max="19" width="23.140625" bestFit="1" customWidth="1"/>
    <col min="20" max="20" width="27" bestFit="1" customWidth="1"/>
    <col min="21" max="21" width="28" bestFit="1" customWidth="1"/>
    <col min="22" max="22" width="6.42578125" bestFit="1" customWidth="1"/>
    <col min="23" max="23" width="13.5703125" bestFit="1" customWidth="1"/>
    <col min="24" max="24" width="15.42578125" bestFit="1" customWidth="1"/>
    <col min="25" max="25" width="19.7109375" bestFit="1" customWidth="1"/>
    <col min="26" max="26" width="11" bestFit="1" customWidth="1"/>
    <col min="27" max="27" width="9.85546875" bestFit="1" customWidth="1"/>
    <col min="28" max="28" width="18.5703125" bestFit="1" customWidth="1"/>
    <col min="29" max="29" width="11.7109375" bestFit="1" customWidth="1"/>
  </cols>
  <sheetData>
    <row r="1" spans="1:20" ht="35.25">
      <c r="A1" s="11" t="s">
        <v>19</v>
      </c>
      <c r="B1" s="12" t="s">
        <v>20</v>
      </c>
      <c r="C1" s="13" t="s">
        <v>21</v>
      </c>
      <c r="F1" s="9" t="s">
        <v>22</v>
      </c>
      <c r="G1" s="9" t="s">
        <v>23</v>
      </c>
    </row>
    <row r="2" spans="1:20" ht="35.25">
      <c r="A2" s="14" t="s">
        <v>24</v>
      </c>
      <c r="B2" s="15" t="s">
        <v>25</v>
      </c>
      <c r="C2" s="16" t="s">
        <v>26</v>
      </c>
      <c r="F2" s="9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24</v>
      </c>
      <c r="M2" t="s">
        <v>10</v>
      </c>
    </row>
    <row r="3" spans="1:20" ht="35.25">
      <c r="A3" s="14" t="s">
        <v>24</v>
      </c>
      <c r="B3" s="15" t="s">
        <v>33</v>
      </c>
      <c r="C3" s="16" t="s">
        <v>34</v>
      </c>
      <c r="F3" t="s">
        <v>25</v>
      </c>
      <c r="G3" s="21">
        <v>1</v>
      </c>
      <c r="H3" s="21">
        <v>1</v>
      </c>
      <c r="I3" s="21"/>
      <c r="J3" s="21">
        <v>1</v>
      </c>
      <c r="K3" s="21">
        <v>1</v>
      </c>
      <c r="L3" s="21">
        <v>1</v>
      </c>
      <c r="M3" s="21">
        <v>5</v>
      </c>
    </row>
    <row r="4" spans="1:20" ht="35.25">
      <c r="A4" s="14" t="s">
        <v>28</v>
      </c>
      <c r="B4" s="15" t="s">
        <v>25</v>
      </c>
      <c r="C4" s="16" t="s">
        <v>35</v>
      </c>
      <c r="F4" t="s">
        <v>36</v>
      </c>
      <c r="G4" s="21">
        <v>1</v>
      </c>
      <c r="H4" s="21">
        <v>1</v>
      </c>
      <c r="I4" s="21">
        <v>1</v>
      </c>
      <c r="J4" s="21"/>
      <c r="K4" s="21"/>
      <c r="L4" s="21"/>
      <c r="M4" s="21">
        <v>3</v>
      </c>
    </row>
    <row r="5" spans="1:20" ht="35.25">
      <c r="A5" s="14" t="s">
        <v>28</v>
      </c>
      <c r="B5" s="15" t="s">
        <v>36</v>
      </c>
      <c r="C5" s="16" t="s">
        <v>37</v>
      </c>
      <c r="F5" t="s">
        <v>33</v>
      </c>
      <c r="G5" s="21"/>
      <c r="H5" s="21"/>
      <c r="I5" s="21">
        <v>1</v>
      </c>
      <c r="J5" s="21">
        <v>1</v>
      </c>
      <c r="K5" s="21">
        <v>1</v>
      </c>
      <c r="L5" s="21">
        <v>1</v>
      </c>
      <c r="M5" s="21">
        <v>4</v>
      </c>
    </row>
    <row r="6" spans="1:20" ht="35.25">
      <c r="A6" s="14" t="s">
        <v>32</v>
      </c>
      <c r="B6" s="15" t="s">
        <v>33</v>
      </c>
      <c r="C6" s="16" t="s">
        <v>38</v>
      </c>
      <c r="F6" t="s">
        <v>10</v>
      </c>
      <c r="G6" s="21">
        <v>2</v>
      </c>
      <c r="H6" s="21">
        <v>2</v>
      </c>
      <c r="I6" s="21">
        <v>2</v>
      </c>
      <c r="J6" s="21">
        <v>2</v>
      </c>
      <c r="K6" s="21">
        <v>2</v>
      </c>
      <c r="L6" s="21">
        <v>2</v>
      </c>
      <c r="M6" s="21">
        <v>12</v>
      </c>
    </row>
    <row r="7" spans="1:20" ht="35.25">
      <c r="A7" s="14" t="s">
        <v>32</v>
      </c>
      <c r="B7" s="15" t="s">
        <v>25</v>
      </c>
      <c r="C7" s="16" t="s">
        <v>39</v>
      </c>
    </row>
    <row r="8" spans="1:20" ht="17.25">
      <c r="A8" s="14" t="s">
        <v>30</v>
      </c>
      <c r="B8" s="15" t="s">
        <v>36</v>
      </c>
      <c r="C8" s="16" t="s">
        <v>40</v>
      </c>
    </row>
    <row r="9" spans="1:20" ht="35.25">
      <c r="A9" s="14" t="s">
        <v>30</v>
      </c>
      <c r="B9" s="15" t="s">
        <v>33</v>
      </c>
      <c r="C9" s="16" t="s">
        <v>41</v>
      </c>
    </row>
    <row r="10" spans="1:20" ht="17.25">
      <c r="A10" s="14" t="s">
        <v>29</v>
      </c>
      <c r="B10" s="15" t="s">
        <v>25</v>
      </c>
      <c r="C10" s="16" t="s">
        <v>42</v>
      </c>
    </row>
    <row r="11" spans="1:20" ht="17.25">
      <c r="A11" s="14" t="s">
        <v>29</v>
      </c>
      <c r="B11" s="15" t="s">
        <v>36</v>
      </c>
      <c r="C11" s="16" t="s">
        <v>41</v>
      </c>
    </row>
    <row r="12" spans="1:20" ht="52.5">
      <c r="A12" s="14" t="s">
        <v>31</v>
      </c>
      <c r="B12" s="15" t="s">
        <v>33</v>
      </c>
      <c r="C12" s="16" t="s">
        <v>39</v>
      </c>
    </row>
    <row r="13" spans="1:20" ht="52.5">
      <c r="A13" s="17" t="s">
        <v>31</v>
      </c>
      <c r="B13" s="18" t="s">
        <v>25</v>
      </c>
      <c r="C13" s="19" t="s">
        <v>37</v>
      </c>
    </row>
    <row r="14" spans="1:20">
      <c r="T14" s="20" t="str" cm="1">
        <f t="array" ref="T14">_xlfn.SWITCH(TRUE, J11 &lt;300, "Low",  J11 &gt;= 300, "Medium", J11 &gt; 600, "High")</f>
        <v>Low</v>
      </c>
    </row>
    <row r="15" spans="1:20">
      <c r="T15" s="20" t="str" cm="1">
        <f t="array" ref="T15">_xlfn.SWITCH(TRUE, J12 &lt;300, "Low",  J12 &gt;= 300, "Medium", J12 &gt; 600, "High")</f>
        <v>Low</v>
      </c>
    </row>
    <row r="16" spans="1:20">
      <c r="T16" s="20" t="str" cm="1">
        <f t="array" ref="T16">_xlfn.SWITCH(TRUE, J13 &lt;300, "Low",  J13 &gt;= 300, "Medium", J13 &gt; 600, "High")</f>
        <v>Low</v>
      </c>
    </row>
    <row r="17" spans="20:20">
      <c r="T17" s="20" t="str" cm="1">
        <f t="array" ref="T17">_xlfn.SWITCH(TRUE, J14 &lt;300, "Low",  J14 &gt;= 300, "Medium", J14 &gt; 600, "High")</f>
        <v>Low</v>
      </c>
    </row>
    <row r="18" spans="20:20">
      <c r="T18" s="20" t="str" cm="1">
        <f t="array" ref="T18">_xlfn.SWITCH(TRUE, J15 &lt;300, "Low",  J15 &gt;= 300, "Medium", J15 &gt; 600, "High")</f>
        <v>Low</v>
      </c>
    </row>
    <row r="19" spans="20:20">
      <c r="T19" s="20" t="str" cm="1">
        <f t="array" ref="T19">_xlfn.SWITCH(TRUE, J16 &lt;300, "Low",  J16 &gt;= 300, "Medium", J16 &gt; 600, "High")</f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I1" sqref="I1"/>
    </sheetView>
  </sheetViews>
  <sheetFormatPr defaultRowHeight="14.4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bestFit="1" customWidth="1"/>
    <col min="7" max="7" width="19.7109375" style="8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19" s="4" customFormat="1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7" t="s">
        <v>2</v>
      </c>
      <c r="H1" s="4" t="s">
        <v>3</v>
      </c>
      <c r="I1" s="4" t="s">
        <v>1</v>
      </c>
      <c r="J1" s="4" t="s">
        <v>49</v>
      </c>
      <c r="K1" s="4" t="s">
        <v>50</v>
      </c>
      <c r="L1" s="4" t="s">
        <v>51</v>
      </c>
      <c r="M1" s="6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3" t="s">
        <v>59</v>
      </c>
      <c r="B2" s="1">
        <v>44531</v>
      </c>
      <c r="C2">
        <v>1</v>
      </c>
      <c r="D2" t="s">
        <v>60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61</v>
      </c>
      <c r="K2" t="s">
        <v>62</v>
      </c>
      <c r="L2" t="s">
        <v>63</v>
      </c>
      <c r="M2" s="5" t="s">
        <v>64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65</v>
      </c>
      <c r="B3" s="1">
        <v>44531</v>
      </c>
      <c r="C3">
        <v>1</v>
      </c>
      <c r="D3" t="s">
        <v>60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66</v>
      </c>
      <c r="K3" t="s">
        <v>62</v>
      </c>
      <c r="L3" t="s">
        <v>63</v>
      </c>
      <c r="M3" s="5" t="s">
        <v>67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68</v>
      </c>
      <c r="B4" s="1">
        <v>44532</v>
      </c>
      <c r="C4">
        <v>2</v>
      </c>
      <c r="D4" t="s">
        <v>60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61</v>
      </c>
      <c r="K4" t="s">
        <v>62</v>
      </c>
      <c r="L4" t="s">
        <v>63</v>
      </c>
      <c r="M4" s="5" t="s">
        <v>69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70</v>
      </c>
      <c r="B5" s="1">
        <v>44532</v>
      </c>
      <c r="C5">
        <v>2</v>
      </c>
      <c r="D5" t="s">
        <v>60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71</v>
      </c>
      <c r="K5" t="s">
        <v>62</v>
      </c>
      <c r="L5" t="s">
        <v>63</v>
      </c>
      <c r="M5" s="5" t="s">
        <v>72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73</v>
      </c>
      <c r="B6" s="1">
        <v>44533</v>
      </c>
      <c r="C6">
        <v>3</v>
      </c>
      <c r="D6" t="s">
        <v>60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61</v>
      </c>
      <c r="K6" t="s">
        <v>62</v>
      </c>
      <c r="L6" t="s">
        <v>63</v>
      </c>
      <c r="M6" s="5" t="s">
        <v>64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74</v>
      </c>
      <c r="B7" s="1">
        <v>44533</v>
      </c>
      <c r="C7">
        <v>3</v>
      </c>
      <c r="D7" t="s">
        <v>60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66</v>
      </c>
      <c r="K7" t="s">
        <v>62</v>
      </c>
      <c r="L7" t="s">
        <v>63</v>
      </c>
      <c r="M7" s="5" t="s">
        <v>75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76</v>
      </c>
      <c r="B8" s="1">
        <v>44533</v>
      </c>
      <c r="C8">
        <v>3</v>
      </c>
      <c r="D8" t="s">
        <v>60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77</v>
      </c>
      <c r="K8" t="s">
        <v>62</v>
      </c>
      <c r="L8" t="s">
        <v>63</v>
      </c>
      <c r="M8" s="5" t="s">
        <v>64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78</v>
      </c>
      <c r="B9" s="1">
        <v>44534</v>
      </c>
      <c r="C9">
        <v>4</v>
      </c>
      <c r="D9" t="s">
        <v>60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71</v>
      </c>
      <c r="K9" t="s">
        <v>62</v>
      </c>
      <c r="L9" t="s">
        <v>63</v>
      </c>
      <c r="M9" s="5" t="s">
        <v>72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79</v>
      </c>
      <c r="B10" s="1">
        <v>44535</v>
      </c>
      <c r="C10">
        <v>5</v>
      </c>
      <c r="D10" t="s">
        <v>60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61</v>
      </c>
      <c r="K10" t="s">
        <v>62</v>
      </c>
      <c r="L10" t="s">
        <v>63</v>
      </c>
      <c r="M10" s="5" t="s">
        <v>64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80</v>
      </c>
      <c r="B11" s="1">
        <v>44535</v>
      </c>
      <c r="D11" t="s">
        <v>60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81</v>
      </c>
      <c r="K11" t="s">
        <v>62</v>
      </c>
      <c r="L11" t="s">
        <v>63</v>
      </c>
      <c r="M11" s="5" t="s">
        <v>75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82</v>
      </c>
      <c r="B12" s="1">
        <v>44535</v>
      </c>
      <c r="C12">
        <v>5</v>
      </c>
      <c r="D12" t="s">
        <v>60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83</v>
      </c>
      <c r="K12" t="s">
        <v>62</v>
      </c>
      <c r="L12" t="s">
        <v>63</v>
      </c>
      <c r="M12" s="5" t="s">
        <v>84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85</v>
      </c>
      <c r="B13" s="1">
        <v>44535</v>
      </c>
      <c r="C13">
        <v>5</v>
      </c>
      <c r="D13" t="s">
        <v>60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61</v>
      </c>
      <c r="K13" t="s">
        <v>62</v>
      </c>
      <c r="L13" t="s">
        <v>63</v>
      </c>
      <c r="M13" s="5" t="s">
        <v>64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86</v>
      </c>
      <c r="B14" s="1">
        <v>44536</v>
      </c>
      <c r="C14">
        <v>6</v>
      </c>
      <c r="D14" t="s">
        <v>60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66</v>
      </c>
      <c r="K14" t="s">
        <v>62</v>
      </c>
      <c r="L14" t="s">
        <v>63</v>
      </c>
      <c r="M14" s="5" t="s">
        <v>69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87</v>
      </c>
      <c r="B15" s="1">
        <v>44536</v>
      </c>
      <c r="C15">
        <v>6</v>
      </c>
      <c r="D15" t="s">
        <v>60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88</v>
      </c>
      <c r="K15" t="s">
        <v>62</v>
      </c>
      <c r="L15" t="s">
        <v>63</v>
      </c>
      <c r="M15" s="5" t="s">
        <v>64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89</v>
      </c>
      <c r="B16" s="1">
        <v>44536</v>
      </c>
      <c r="C16">
        <v>6</v>
      </c>
      <c r="D16" t="s">
        <v>60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71</v>
      </c>
      <c r="K16" t="s">
        <v>62</v>
      </c>
      <c r="L16" t="s">
        <v>63</v>
      </c>
      <c r="M16" s="5" t="s">
        <v>90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91</v>
      </c>
      <c r="B17" s="1">
        <v>44536</v>
      </c>
      <c r="C17">
        <v>6</v>
      </c>
      <c r="D17" t="s">
        <v>60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66</v>
      </c>
      <c r="K17" t="s">
        <v>62</v>
      </c>
      <c r="L17" t="s">
        <v>63</v>
      </c>
      <c r="M17" s="5" t="s">
        <v>84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92</v>
      </c>
      <c r="B18" s="1">
        <v>44537</v>
      </c>
      <c r="C18">
        <v>7</v>
      </c>
      <c r="D18" t="s">
        <v>60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61</v>
      </c>
      <c r="K18" t="s">
        <v>62</v>
      </c>
      <c r="L18" t="s">
        <v>63</v>
      </c>
      <c r="M18" s="5" t="s">
        <v>93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94</v>
      </c>
      <c r="B19" s="1">
        <v>44537</v>
      </c>
      <c r="C19">
        <v>7</v>
      </c>
      <c r="D19" t="s">
        <v>60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61</v>
      </c>
      <c r="K19" t="s">
        <v>62</v>
      </c>
      <c r="L19" t="s">
        <v>63</v>
      </c>
      <c r="M19" s="5" t="s">
        <v>67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95</v>
      </c>
      <c r="B20" s="1">
        <v>44538</v>
      </c>
      <c r="C20">
        <v>8</v>
      </c>
      <c r="D20" t="s">
        <v>60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71</v>
      </c>
      <c r="K20" t="s">
        <v>62</v>
      </c>
      <c r="L20" t="s">
        <v>63</v>
      </c>
      <c r="M20" s="5" t="s">
        <v>96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97</v>
      </c>
      <c r="B21" s="1">
        <v>44538</v>
      </c>
      <c r="C21">
        <v>8</v>
      </c>
      <c r="D21" t="s">
        <v>60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88</v>
      </c>
      <c r="K21" t="s">
        <v>62</v>
      </c>
      <c r="L21" t="s">
        <v>63</v>
      </c>
      <c r="M21" s="5" t="s">
        <v>84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98</v>
      </c>
      <c r="B22" s="1">
        <v>44538</v>
      </c>
      <c r="C22">
        <v>8</v>
      </c>
      <c r="D22" t="s">
        <v>60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99</v>
      </c>
      <c r="K22" t="s">
        <v>62</v>
      </c>
      <c r="L22" t="s">
        <v>63</v>
      </c>
      <c r="M22" s="5" t="s">
        <v>100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101</v>
      </c>
      <c r="B23" s="1">
        <v>44538</v>
      </c>
      <c r="C23">
        <v>8</v>
      </c>
      <c r="D23" t="s">
        <v>60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61</v>
      </c>
      <c r="K23" t="s">
        <v>62</v>
      </c>
      <c r="L23" t="s">
        <v>63</v>
      </c>
      <c r="M23" s="5" t="s">
        <v>100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102</v>
      </c>
      <c r="B24" s="1">
        <v>44539</v>
      </c>
      <c r="C24">
        <v>9</v>
      </c>
      <c r="D24" t="s">
        <v>60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103</v>
      </c>
      <c r="K24" t="s">
        <v>62</v>
      </c>
      <c r="L24" t="s">
        <v>63</v>
      </c>
      <c r="M24" s="5" t="s">
        <v>104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105</v>
      </c>
      <c r="B25" s="1">
        <v>44539</v>
      </c>
      <c r="C25">
        <v>9</v>
      </c>
      <c r="D25" t="s">
        <v>60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106</v>
      </c>
      <c r="K25" t="s">
        <v>62</v>
      </c>
      <c r="L25" t="s">
        <v>63</v>
      </c>
      <c r="M25" s="5" t="s">
        <v>67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107</v>
      </c>
      <c r="B26" s="1">
        <v>44540</v>
      </c>
      <c r="C26">
        <v>10</v>
      </c>
      <c r="D26" t="s">
        <v>60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61</v>
      </c>
      <c r="K26" t="s">
        <v>62</v>
      </c>
      <c r="L26" t="s">
        <v>63</v>
      </c>
      <c r="M26" s="5" t="s">
        <v>90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108</v>
      </c>
      <c r="B27" s="1">
        <v>44540</v>
      </c>
      <c r="C27">
        <v>10</v>
      </c>
      <c r="D27" t="s">
        <v>60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71</v>
      </c>
      <c r="K27" t="s">
        <v>62</v>
      </c>
      <c r="L27" t="s">
        <v>63</v>
      </c>
      <c r="M27" s="5" t="s">
        <v>90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109</v>
      </c>
      <c r="B28" s="1">
        <v>44540</v>
      </c>
      <c r="C28">
        <v>10</v>
      </c>
      <c r="D28" t="s">
        <v>60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66</v>
      </c>
      <c r="K28" t="s">
        <v>62</v>
      </c>
      <c r="L28" t="s">
        <v>63</v>
      </c>
      <c r="M28" s="5" t="s">
        <v>75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110</v>
      </c>
      <c r="B29" s="1">
        <v>44540</v>
      </c>
      <c r="C29">
        <v>10</v>
      </c>
      <c r="D29" t="s">
        <v>60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61</v>
      </c>
      <c r="K29" t="s">
        <v>62</v>
      </c>
      <c r="L29" t="s">
        <v>63</v>
      </c>
      <c r="M29" s="5" t="s">
        <v>111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112</v>
      </c>
      <c r="B30" s="1">
        <v>44540</v>
      </c>
      <c r="C30">
        <v>10</v>
      </c>
      <c r="D30" t="s">
        <v>60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77</v>
      </c>
      <c r="K30" t="s">
        <v>62</v>
      </c>
      <c r="L30" t="s">
        <v>63</v>
      </c>
      <c r="M30" s="5" t="s">
        <v>113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114</v>
      </c>
      <c r="B31" s="1">
        <v>44540</v>
      </c>
      <c r="C31">
        <v>10</v>
      </c>
      <c r="D31" t="s">
        <v>60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71</v>
      </c>
      <c r="K31" t="s">
        <v>62</v>
      </c>
      <c r="L31" t="s">
        <v>63</v>
      </c>
      <c r="M31" s="5" t="s">
        <v>75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115</v>
      </c>
      <c r="B32" s="1">
        <v>44541</v>
      </c>
      <c r="C32">
        <v>11</v>
      </c>
      <c r="D32" t="s">
        <v>60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116</v>
      </c>
      <c r="K32" t="s">
        <v>62</v>
      </c>
      <c r="L32" t="s">
        <v>63</v>
      </c>
      <c r="M32" s="5" t="s">
        <v>75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117</v>
      </c>
      <c r="B33" s="1">
        <v>44541</v>
      </c>
      <c r="C33">
        <v>11</v>
      </c>
      <c r="D33" t="s">
        <v>60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71</v>
      </c>
      <c r="K33" t="s">
        <v>62</v>
      </c>
      <c r="L33" t="s">
        <v>63</v>
      </c>
      <c r="M33" s="5" t="s">
        <v>93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118</v>
      </c>
      <c r="B34" s="1">
        <v>44541</v>
      </c>
      <c r="C34">
        <v>11</v>
      </c>
      <c r="D34" t="s">
        <v>60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88</v>
      </c>
      <c r="K34" t="s">
        <v>62</v>
      </c>
      <c r="L34" t="s">
        <v>63</v>
      </c>
      <c r="M34" s="5" t="s">
        <v>64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119</v>
      </c>
      <c r="B35" s="1">
        <v>44541</v>
      </c>
      <c r="C35">
        <v>11</v>
      </c>
      <c r="D35" t="s">
        <v>60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61</v>
      </c>
      <c r="K35" t="s">
        <v>62</v>
      </c>
      <c r="L35" t="s">
        <v>63</v>
      </c>
      <c r="M35" s="5" t="s">
        <v>69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120</v>
      </c>
      <c r="B36" s="1">
        <v>44541</v>
      </c>
      <c r="C36">
        <v>11</v>
      </c>
      <c r="D36" t="s">
        <v>60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61</v>
      </c>
      <c r="K36" t="s">
        <v>62</v>
      </c>
      <c r="L36" t="s">
        <v>63</v>
      </c>
      <c r="M36" s="5" t="s">
        <v>84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121</v>
      </c>
      <c r="B37" s="1">
        <v>44542</v>
      </c>
      <c r="C37">
        <v>12</v>
      </c>
      <c r="D37" t="s">
        <v>60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71</v>
      </c>
      <c r="K37" t="s">
        <v>62</v>
      </c>
      <c r="L37" t="s">
        <v>63</v>
      </c>
      <c r="M37" s="5" t="s">
        <v>67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122</v>
      </c>
      <c r="B38" s="1">
        <v>44542</v>
      </c>
      <c r="C38">
        <v>12</v>
      </c>
      <c r="D38" t="s">
        <v>60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61</v>
      </c>
      <c r="K38" t="s">
        <v>62</v>
      </c>
      <c r="L38" t="s">
        <v>63</v>
      </c>
      <c r="M38" s="5" t="s">
        <v>69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123</v>
      </c>
      <c r="B39" s="1">
        <v>44542</v>
      </c>
      <c r="C39">
        <v>12</v>
      </c>
      <c r="D39" t="s">
        <v>60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71</v>
      </c>
      <c r="K39" t="s">
        <v>62</v>
      </c>
      <c r="L39" t="s">
        <v>63</v>
      </c>
      <c r="M39" s="5" t="s">
        <v>75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124</v>
      </c>
      <c r="B40" s="1">
        <v>44542</v>
      </c>
      <c r="C40">
        <v>12</v>
      </c>
      <c r="D40" t="s">
        <v>60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103</v>
      </c>
      <c r="K40" t="s">
        <v>62</v>
      </c>
      <c r="L40" t="s">
        <v>63</v>
      </c>
      <c r="M40" s="5" t="s">
        <v>67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125</v>
      </c>
      <c r="B41" s="1">
        <v>44542</v>
      </c>
      <c r="C41">
        <v>12</v>
      </c>
      <c r="D41" t="s">
        <v>60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77</v>
      </c>
      <c r="K41" t="s">
        <v>62</v>
      </c>
      <c r="L41" t="s">
        <v>63</v>
      </c>
      <c r="M41" s="5" t="s">
        <v>67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126</v>
      </c>
      <c r="B42" s="1">
        <v>44543</v>
      </c>
      <c r="C42">
        <v>13</v>
      </c>
      <c r="D42" t="s">
        <v>60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83</v>
      </c>
      <c r="K42" t="s">
        <v>62</v>
      </c>
      <c r="L42" t="s">
        <v>63</v>
      </c>
      <c r="M42" s="5" t="s">
        <v>67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127</v>
      </c>
      <c r="B43" s="1">
        <v>44543</v>
      </c>
      <c r="C43">
        <v>13</v>
      </c>
      <c r="D43" t="s">
        <v>60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61</v>
      </c>
      <c r="K43" t="s">
        <v>62</v>
      </c>
      <c r="L43" t="s">
        <v>63</v>
      </c>
      <c r="M43" s="5" t="s">
        <v>128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129</v>
      </c>
      <c r="B44" s="1">
        <v>44543</v>
      </c>
      <c r="C44">
        <v>13</v>
      </c>
      <c r="D44" t="s">
        <v>60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66</v>
      </c>
      <c r="K44" t="s">
        <v>62</v>
      </c>
      <c r="L44" t="s">
        <v>63</v>
      </c>
      <c r="M44" s="5" t="s">
        <v>75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130</v>
      </c>
      <c r="B45" s="1">
        <v>44543</v>
      </c>
      <c r="C45">
        <v>13</v>
      </c>
      <c r="D45" t="s">
        <v>60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66</v>
      </c>
      <c r="K45" t="s">
        <v>62</v>
      </c>
      <c r="L45" t="s">
        <v>63</v>
      </c>
      <c r="M45" s="5" t="s">
        <v>75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131</v>
      </c>
      <c r="B46" s="1">
        <v>44544</v>
      </c>
      <c r="C46">
        <v>14</v>
      </c>
      <c r="D46" t="s">
        <v>60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77</v>
      </c>
      <c r="K46" t="s">
        <v>62</v>
      </c>
      <c r="L46" t="s">
        <v>63</v>
      </c>
      <c r="M46" s="5" t="s">
        <v>84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132</v>
      </c>
      <c r="B47" s="1">
        <v>44544</v>
      </c>
      <c r="C47">
        <v>14</v>
      </c>
      <c r="D47" t="s">
        <v>60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61</v>
      </c>
      <c r="K47" t="s">
        <v>62</v>
      </c>
      <c r="L47" t="s">
        <v>63</v>
      </c>
      <c r="M47" s="5" t="s">
        <v>64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133</v>
      </c>
      <c r="B48" s="1">
        <v>44544</v>
      </c>
      <c r="C48">
        <v>14</v>
      </c>
      <c r="D48" t="s">
        <v>60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103</v>
      </c>
      <c r="K48" t="s">
        <v>62</v>
      </c>
      <c r="L48" t="s">
        <v>63</v>
      </c>
      <c r="M48" s="5" t="s">
        <v>69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134</v>
      </c>
      <c r="B49" s="1">
        <v>44545</v>
      </c>
      <c r="C49">
        <v>15</v>
      </c>
      <c r="D49" t="s">
        <v>60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61</v>
      </c>
      <c r="K49" t="s">
        <v>62</v>
      </c>
      <c r="L49" t="s">
        <v>63</v>
      </c>
      <c r="M49" s="5" t="s">
        <v>67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135</v>
      </c>
      <c r="B50" s="1">
        <v>44546</v>
      </c>
      <c r="C50">
        <v>16</v>
      </c>
      <c r="D50" t="s">
        <v>60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71</v>
      </c>
      <c r="K50" t="s">
        <v>62</v>
      </c>
      <c r="L50" t="s">
        <v>63</v>
      </c>
      <c r="M50" s="5" t="s">
        <v>75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136</v>
      </c>
      <c r="B51" s="1">
        <v>44546</v>
      </c>
      <c r="C51">
        <v>16</v>
      </c>
      <c r="D51" t="s">
        <v>60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71</v>
      </c>
      <c r="K51" t="s">
        <v>62</v>
      </c>
      <c r="L51" t="s">
        <v>63</v>
      </c>
      <c r="M51" s="5" t="s">
        <v>75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137</v>
      </c>
      <c r="B52" s="1">
        <v>44546</v>
      </c>
      <c r="C52">
        <v>16</v>
      </c>
      <c r="D52" t="s">
        <v>60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138</v>
      </c>
      <c r="K52" t="s">
        <v>62</v>
      </c>
      <c r="L52" t="s">
        <v>63</v>
      </c>
      <c r="M52" s="5" t="s">
        <v>139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140</v>
      </c>
      <c r="B53" s="1">
        <v>44547</v>
      </c>
      <c r="C53">
        <v>17</v>
      </c>
      <c r="D53" t="s">
        <v>60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77</v>
      </c>
      <c r="K53" t="s">
        <v>62</v>
      </c>
      <c r="L53" t="s">
        <v>63</v>
      </c>
      <c r="M53" s="5" t="s">
        <v>84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141</v>
      </c>
      <c r="B54" s="1">
        <v>44547</v>
      </c>
      <c r="C54">
        <v>17</v>
      </c>
      <c r="D54" t="s">
        <v>60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71</v>
      </c>
      <c r="K54" t="s">
        <v>62</v>
      </c>
      <c r="L54" t="s">
        <v>63</v>
      </c>
      <c r="M54" s="5" t="s">
        <v>72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142</v>
      </c>
      <c r="B55" s="1">
        <v>44547</v>
      </c>
      <c r="C55">
        <v>17</v>
      </c>
      <c r="D55" t="s">
        <v>60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81</v>
      </c>
      <c r="K55" t="s">
        <v>62</v>
      </c>
      <c r="L55" t="s">
        <v>63</v>
      </c>
      <c r="M55" s="5" t="s">
        <v>139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143</v>
      </c>
      <c r="B56" s="1">
        <v>44548</v>
      </c>
      <c r="C56">
        <v>18</v>
      </c>
      <c r="D56" t="s">
        <v>60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71</v>
      </c>
      <c r="K56" t="s">
        <v>62</v>
      </c>
      <c r="L56" t="s">
        <v>63</v>
      </c>
      <c r="M56" s="5" t="s">
        <v>96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144</v>
      </c>
      <c r="B57" s="1">
        <v>44548</v>
      </c>
      <c r="C57">
        <v>18</v>
      </c>
      <c r="D57" t="s">
        <v>60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81</v>
      </c>
      <c r="K57" t="s">
        <v>62</v>
      </c>
      <c r="L57" t="s">
        <v>63</v>
      </c>
      <c r="M57" s="5" t="s">
        <v>139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145</v>
      </c>
      <c r="B58" s="1">
        <v>44548</v>
      </c>
      <c r="C58">
        <v>18</v>
      </c>
      <c r="D58" t="s">
        <v>60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146</v>
      </c>
      <c r="K58" t="s">
        <v>62</v>
      </c>
      <c r="L58" t="s">
        <v>63</v>
      </c>
      <c r="M58" s="5" t="s">
        <v>84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147</v>
      </c>
      <c r="B59" s="1">
        <v>44548</v>
      </c>
      <c r="C59">
        <v>18</v>
      </c>
      <c r="D59" t="s">
        <v>60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66</v>
      </c>
      <c r="K59" t="s">
        <v>62</v>
      </c>
      <c r="L59" t="s">
        <v>63</v>
      </c>
      <c r="M59" s="5" t="s">
        <v>72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148</v>
      </c>
      <c r="B60" s="1">
        <v>44548</v>
      </c>
      <c r="C60">
        <v>18</v>
      </c>
      <c r="D60" t="s">
        <v>60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61</v>
      </c>
      <c r="K60" t="s">
        <v>62</v>
      </c>
      <c r="L60" t="s">
        <v>63</v>
      </c>
      <c r="M60" s="5" t="s">
        <v>90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149</v>
      </c>
      <c r="B61" s="1">
        <v>44548</v>
      </c>
      <c r="C61">
        <v>18</v>
      </c>
      <c r="D61" t="s">
        <v>60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116</v>
      </c>
      <c r="K61" t="s">
        <v>62</v>
      </c>
      <c r="L61" t="s">
        <v>63</v>
      </c>
      <c r="M61" s="5" t="s">
        <v>64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150</v>
      </c>
      <c r="B62" s="1">
        <v>44548</v>
      </c>
      <c r="C62">
        <v>18</v>
      </c>
      <c r="D62" t="s">
        <v>60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77</v>
      </c>
      <c r="K62" t="s">
        <v>62</v>
      </c>
      <c r="L62" t="s">
        <v>63</v>
      </c>
      <c r="M62" s="5" t="s">
        <v>84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151</v>
      </c>
      <c r="B63" s="1">
        <v>44549</v>
      </c>
      <c r="C63">
        <v>19</v>
      </c>
      <c r="D63" t="s">
        <v>60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152</v>
      </c>
      <c r="K63" t="s">
        <v>62</v>
      </c>
      <c r="L63" t="s">
        <v>63</v>
      </c>
      <c r="M63" s="5" t="s">
        <v>139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153</v>
      </c>
      <c r="B64" s="1">
        <v>44549</v>
      </c>
      <c r="C64">
        <v>19</v>
      </c>
      <c r="D64" t="s">
        <v>60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103</v>
      </c>
      <c r="K64" t="s">
        <v>62</v>
      </c>
      <c r="L64" t="s">
        <v>63</v>
      </c>
      <c r="M64" s="5" t="s">
        <v>154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155</v>
      </c>
      <c r="B65" s="1">
        <v>44549</v>
      </c>
      <c r="C65">
        <v>19</v>
      </c>
      <c r="D65" t="s">
        <v>60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116</v>
      </c>
      <c r="K65" t="s">
        <v>62</v>
      </c>
      <c r="L65" t="s">
        <v>63</v>
      </c>
      <c r="M65" s="5" t="s">
        <v>75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156</v>
      </c>
      <c r="B66" s="1">
        <v>44549</v>
      </c>
      <c r="C66">
        <v>19</v>
      </c>
      <c r="D66" t="s">
        <v>60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99</v>
      </c>
      <c r="K66" t="s">
        <v>62</v>
      </c>
      <c r="L66" t="s">
        <v>63</v>
      </c>
      <c r="M66" s="5" t="s">
        <v>157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158</v>
      </c>
      <c r="B67" s="1">
        <v>44549</v>
      </c>
      <c r="C67">
        <v>19</v>
      </c>
      <c r="D67" t="s">
        <v>60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99</v>
      </c>
      <c r="K67" t="s">
        <v>62</v>
      </c>
      <c r="L67" t="s">
        <v>63</v>
      </c>
      <c r="M67" s="5" t="s">
        <v>75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159</v>
      </c>
      <c r="B68" s="1">
        <v>44549</v>
      </c>
      <c r="C68">
        <v>19</v>
      </c>
      <c r="D68" t="s">
        <v>60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61</v>
      </c>
      <c r="K68" t="s">
        <v>62</v>
      </c>
      <c r="L68" t="s">
        <v>63</v>
      </c>
      <c r="M68" s="5" t="s">
        <v>64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160</v>
      </c>
      <c r="B69" s="1">
        <v>44549</v>
      </c>
      <c r="C69">
        <v>19</v>
      </c>
      <c r="D69" t="s">
        <v>60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83</v>
      </c>
      <c r="K69" t="s">
        <v>62</v>
      </c>
      <c r="L69" t="s">
        <v>63</v>
      </c>
      <c r="M69" s="5" t="s">
        <v>64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161</v>
      </c>
      <c r="B70" s="1">
        <v>44549</v>
      </c>
      <c r="C70">
        <v>19</v>
      </c>
      <c r="D70" t="s">
        <v>60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162</v>
      </c>
      <c r="K70" t="s">
        <v>62</v>
      </c>
      <c r="L70" t="s">
        <v>63</v>
      </c>
      <c r="M70" s="5" t="s">
        <v>111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163</v>
      </c>
      <c r="B71" s="1">
        <v>44549</v>
      </c>
      <c r="C71">
        <v>19</v>
      </c>
      <c r="D71" t="s">
        <v>60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164</v>
      </c>
      <c r="K71" t="s">
        <v>62</v>
      </c>
      <c r="L71" t="s">
        <v>63</v>
      </c>
      <c r="M71" s="5" t="s">
        <v>64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165</v>
      </c>
      <c r="B72" s="1">
        <v>44549</v>
      </c>
      <c r="C72">
        <v>19</v>
      </c>
      <c r="D72" t="s">
        <v>60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77</v>
      </c>
      <c r="K72" t="s">
        <v>62</v>
      </c>
      <c r="L72" t="s">
        <v>63</v>
      </c>
      <c r="M72" s="5" t="s">
        <v>84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166</v>
      </c>
      <c r="B73" s="1">
        <v>44550</v>
      </c>
      <c r="C73">
        <v>20</v>
      </c>
      <c r="D73" t="s">
        <v>60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103</v>
      </c>
      <c r="K73" t="s">
        <v>62</v>
      </c>
      <c r="L73" t="s">
        <v>63</v>
      </c>
      <c r="M73" s="5" t="s">
        <v>104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167</v>
      </c>
      <c r="B74" s="1">
        <v>44550</v>
      </c>
      <c r="C74">
        <v>20</v>
      </c>
      <c r="D74" t="s">
        <v>60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83</v>
      </c>
      <c r="K74" t="s">
        <v>62</v>
      </c>
      <c r="L74" t="s">
        <v>63</v>
      </c>
      <c r="M74" s="5" t="s">
        <v>64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168</v>
      </c>
      <c r="B75" s="1">
        <v>44550</v>
      </c>
      <c r="C75">
        <v>20</v>
      </c>
      <c r="D75" t="s">
        <v>60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88</v>
      </c>
      <c r="K75" t="s">
        <v>62</v>
      </c>
      <c r="L75" t="s">
        <v>63</v>
      </c>
      <c r="M75" s="5" t="s">
        <v>169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170</v>
      </c>
      <c r="B76" s="1">
        <v>44550</v>
      </c>
      <c r="C76">
        <v>20</v>
      </c>
      <c r="D76" t="s">
        <v>60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83</v>
      </c>
      <c r="K76" t="s">
        <v>62</v>
      </c>
      <c r="L76" t="s">
        <v>63</v>
      </c>
      <c r="M76" s="5" t="s">
        <v>84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171</v>
      </c>
      <c r="B77" s="1">
        <v>44550</v>
      </c>
      <c r="C77">
        <v>20</v>
      </c>
      <c r="D77" t="s">
        <v>60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103</v>
      </c>
      <c r="K77" t="s">
        <v>62</v>
      </c>
      <c r="L77" t="s">
        <v>63</v>
      </c>
      <c r="M77" s="5" t="s">
        <v>84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172</v>
      </c>
      <c r="B78" s="1">
        <v>44551</v>
      </c>
      <c r="C78">
        <v>21</v>
      </c>
      <c r="D78" t="s">
        <v>60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173</v>
      </c>
      <c r="K78" t="s">
        <v>62</v>
      </c>
      <c r="L78" t="s">
        <v>63</v>
      </c>
      <c r="M78" s="5" t="s">
        <v>84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174</v>
      </c>
      <c r="B79" s="1">
        <v>44551</v>
      </c>
      <c r="C79">
        <v>21</v>
      </c>
      <c r="D79" t="s">
        <v>60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66</v>
      </c>
      <c r="K79" t="s">
        <v>62</v>
      </c>
      <c r="L79" t="s">
        <v>63</v>
      </c>
      <c r="M79" s="5" t="s">
        <v>69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175</v>
      </c>
      <c r="B80" s="1">
        <v>44552</v>
      </c>
      <c r="C80">
        <v>22</v>
      </c>
      <c r="D80" t="s">
        <v>60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77</v>
      </c>
      <c r="K80" t="s">
        <v>62</v>
      </c>
      <c r="L80" t="s">
        <v>63</v>
      </c>
      <c r="M80" s="5" t="s">
        <v>84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176</v>
      </c>
      <c r="B81" s="1">
        <v>44552</v>
      </c>
      <c r="C81">
        <v>22</v>
      </c>
      <c r="D81" t="s">
        <v>60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61</v>
      </c>
      <c r="K81" t="s">
        <v>62</v>
      </c>
      <c r="L81" t="s">
        <v>63</v>
      </c>
      <c r="M81" s="5" t="s">
        <v>90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177</v>
      </c>
      <c r="B82" s="1">
        <v>44552</v>
      </c>
      <c r="C82">
        <v>22</v>
      </c>
      <c r="D82" t="s">
        <v>60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71</v>
      </c>
      <c r="K82" t="s">
        <v>62</v>
      </c>
      <c r="L82" t="s">
        <v>63</v>
      </c>
      <c r="M82" s="5" t="s">
        <v>96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178</v>
      </c>
      <c r="B83" s="1">
        <v>44552</v>
      </c>
      <c r="C83">
        <v>22</v>
      </c>
      <c r="D83" t="s">
        <v>60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116</v>
      </c>
      <c r="K83" t="s">
        <v>62</v>
      </c>
      <c r="L83" t="s">
        <v>63</v>
      </c>
      <c r="M83" s="5" t="s">
        <v>75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179</v>
      </c>
      <c r="B84" s="1">
        <v>44552</v>
      </c>
      <c r="C84">
        <v>22</v>
      </c>
      <c r="D84" t="s">
        <v>60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88</v>
      </c>
      <c r="K84" t="s">
        <v>62</v>
      </c>
      <c r="L84" t="s">
        <v>63</v>
      </c>
      <c r="M84" s="5" t="s">
        <v>64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180</v>
      </c>
      <c r="B85" s="1">
        <v>44552</v>
      </c>
      <c r="C85">
        <v>22</v>
      </c>
      <c r="D85" t="s">
        <v>60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164</v>
      </c>
      <c r="K85" t="s">
        <v>62</v>
      </c>
      <c r="L85" t="s">
        <v>63</v>
      </c>
      <c r="M85" s="5" t="s">
        <v>84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181</v>
      </c>
      <c r="B86" s="1">
        <v>44553</v>
      </c>
      <c r="C86">
        <v>23</v>
      </c>
      <c r="D86" t="s">
        <v>60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99</v>
      </c>
      <c r="K86" t="s">
        <v>62</v>
      </c>
      <c r="L86" t="s">
        <v>63</v>
      </c>
      <c r="M86" s="5" t="s">
        <v>67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182</v>
      </c>
      <c r="B87" s="1">
        <v>44553</v>
      </c>
      <c r="C87">
        <v>23</v>
      </c>
      <c r="D87" t="s">
        <v>60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88</v>
      </c>
      <c r="K87" t="s">
        <v>62</v>
      </c>
      <c r="L87" t="s">
        <v>63</v>
      </c>
      <c r="M87" s="5" t="s">
        <v>90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183</v>
      </c>
      <c r="B88" s="1">
        <v>44553</v>
      </c>
      <c r="C88">
        <v>23</v>
      </c>
      <c r="D88" t="s">
        <v>60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61</v>
      </c>
      <c r="K88" t="s">
        <v>62</v>
      </c>
      <c r="L88" t="s">
        <v>63</v>
      </c>
      <c r="M88" s="5" t="s">
        <v>100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184</v>
      </c>
      <c r="B89" s="1">
        <v>44554</v>
      </c>
      <c r="C89">
        <v>24</v>
      </c>
      <c r="D89" t="s">
        <v>60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83</v>
      </c>
      <c r="K89" t="s">
        <v>62</v>
      </c>
      <c r="L89" t="s">
        <v>63</v>
      </c>
      <c r="M89" s="5" t="s">
        <v>90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5B091AC64D54088A5171EB46DC54B" ma:contentTypeVersion="3" ma:contentTypeDescription="Create a new document." ma:contentTypeScope="" ma:versionID="628d8d0d6268e133ed77e1f9ebdce03b">
  <xsd:schema xmlns:xsd="http://www.w3.org/2001/XMLSchema" xmlns:xs="http://www.w3.org/2001/XMLSchema" xmlns:p="http://schemas.microsoft.com/office/2006/metadata/properties" xmlns:ns2="606b38b8-e5f7-42ee-a6cf-e45b80e82e1a" targetNamespace="http://schemas.microsoft.com/office/2006/metadata/properties" ma:root="true" ma:fieldsID="9ac3806ce0e85aa9aa62d8d2c1cfdd29" ns2:_="">
    <xsd:import namespace="606b38b8-e5f7-42ee-a6cf-e45b80e82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38b8-e5f7-42ee-a6cf-e45b80e82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7D035C-6422-42C9-A5F8-6C3D6B4A9EE0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Kieran Parkin</cp:lastModifiedBy>
  <cp:revision/>
  <dcterms:created xsi:type="dcterms:W3CDTF">2022-11-04T20:14:11Z</dcterms:created>
  <dcterms:modified xsi:type="dcterms:W3CDTF">2025-09-25T14:40:16Z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0x010100D535B091AC64D54088A5171EB46DC54B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